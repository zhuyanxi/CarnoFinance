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Zhuyanxi\CarnoFinance\"/>
    </mc:Choice>
  </mc:AlternateContent>
  <xr:revisionPtr revIDLastSave="0" documentId="13_ncr:1_{E41879F7-CCEE-48EE-9E45-6107E3633738}" xr6:coauthVersionLast="47" xr6:coauthVersionMax="47" xr10:uidLastSave="{00000000-0000-0000-0000-000000000000}"/>
  <bookViews>
    <workbookView xWindow="-120" yWindow="-120" windowWidth="38640" windowHeight="21120" xr2:uid="{FF009721-C680-46B5-A86A-A7B389958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  <c r="A5" i="1"/>
  <c r="A4" i="1"/>
  <c r="C3" i="1"/>
  <c r="C4" i="1" l="1"/>
  <c r="C5" i="1" s="1"/>
  <c r="D3" i="1"/>
  <c r="E4" i="1" s="1"/>
  <c r="D4" i="1" l="1"/>
  <c r="E5" i="1" s="1"/>
  <c r="C6" i="1"/>
  <c r="C7" i="1" s="1"/>
  <c r="D7" i="1" s="1"/>
  <c r="D5" i="1"/>
  <c r="E6" i="1" s="1"/>
  <c r="F4" i="1" l="1"/>
  <c r="D6" i="1"/>
  <c r="F5" i="1"/>
  <c r="C8" i="1"/>
  <c r="D8" i="1" s="1"/>
  <c r="E8" i="1"/>
  <c r="F7" i="1"/>
  <c r="C9" i="1" l="1"/>
  <c r="C10" i="1" s="1"/>
  <c r="D10" i="1" s="1"/>
  <c r="F10" i="1" s="1"/>
  <c r="F6" i="1"/>
  <c r="E7" i="1"/>
  <c r="E9" i="1"/>
  <c r="F8" i="1"/>
  <c r="D9" i="1" l="1"/>
  <c r="E10" i="1" s="1"/>
  <c r="F9" i="1" l="1"/>
</calcChain>
</file>

<file path=xl/sharedStrings.xml><?xml version="1.0" encoding="utf-8"?>
<sst xmlns="http://schemas.openxmlformats.org/spreadsheetml/2006/main" count="6" uniqueCount="6">
  <si>
    <t>股价</t>
  </si>
  <si>
    <t>股数</t>
  </si>
  <si>
    <t>支付</t>
  </si>
  <si>
    <t>成本价</t>
  </si>
  <si>
    <t>买入前亏损百分比%</t>
  </si>
  <si>
    <t>买入后亏损百分比%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</si>
</sst>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186C-AFA3-47DD-AC05-BDD9DFD340E7}">
  <dimension ref="A1:F10"/>
  <sheetViews>
    <sheetView tabSelected="1" workbookViewId="0">
      <selection activeCell="A6" sqref="A6:XFD6"/>
    </sheetView>
  </sheetViews>
  <sheetFormatPr defaultRowHeight="15" x14ac:dyDescent="0.25"/>
  <cols>
    <col min="4" max="4" width="19.140625" customWidth="1"/>
    <col min="5" max="5" width="25.5703125" customWidth="1"/>
    <col min="6" max="6" width="2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0.2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100</v>
      </c>
      <c r="B3">
        <v>1</v>
      </c>
      <c r="C3">
        <f>C2+A3*(B3-B2)</f>
        <v>100</v>
      </c>
      <c r="D3">
        <f>C3/B3</f>
        <v>100</v>
      </c>
      <c r="E3">
        <v>0</v>
      </c>
      <c r="F3">
        <v>0</v>
      </c>
    </row>
    <row r="4" spans="1:6" x14ac:dyDescent="0.25">
      <c r="A4">
        <f>A3*(1-A2)</f>
        <v>80</v>
      </c>
      <c r="B4">
        <v>3</v>
      </c>
      <c r="C4">
        <f>C3+A4*(B4-B3)</f>
        <v>260</v>
      </c>
      <c r="D4">
        <f>C4/B4</f>
        <v>86.666666666666671</v>
      </c>
      <c r="E4">
        <f>(A4/D3-1)*100</f>
        <v>-19.999999999999996</v>
      </c>
      <c r="F4">
        <f>(A4/D4-1)*100</f>
        <v>-7.6923076923076987</v>
      </c>
    </row>
    <row r="5" spans="1:6" x14ac:dyDescent="0.25">
      <c r="A5">
        <f>A3*(1-A2*2)</f>
        <v>60</v>
      </c>
      <c r="B5">
        <v>6</v>
      </c>
      <c r="C5">
        <f>C4+A5*(B5-B4)</f>
        <v>440</v>
      </c>
      <c r="D5">
        <f>C5/B5</f>
        <v>73.333333333333329</v>
      </c>
      <c r="E5">
        <f t="shared" ref="E5:E10" si="0">(A5/D4-1)*100</f>
        <v>-30.76923076923077</v>
      </c>
      <c r="F5">
        <f t="shared" ref="F5:F10" si="1">(A5/D5-1)*100</f>
        <v>-18.181818181818176</v>
      </c>
    </row>
    <row r="6" spans="1:6" x14ac:dyDescent="0.25">
      <c r="A6">
        <f>A3*(1-A2*3)</f>
        <v>39.999999999999993</v>
      </c>
      <c r="B6">
        <v>10</v>
      </c>
      <c r="C6">
        <f t="shared" ref="C6:C10" si="2">C5+A6*(B6-B5)</f>
        <v>600</v>
      </c>
      <c r="D6">
        <f t="shared" ref="D6:D10" si="3">C6/B6</f>
        <v>60</v>
      </c>
      <c r="E6">
        <f t="shared" si="0"/>
        <v>-45.45454545454546</v>
      </c>
      <c r="F6">
        <f t="shared" si="1"/>
        <v>-33.33333333333335</v>
      </c>
    </row>
    <row r="7" spans="1:6" x14ac:dyDescent="0.25">
      <c r="A7">
        <f>A3*(1-A2*4)</f>
        <v>19.999999999999996</v>
      </c>
      <c r="B7">
        <v>15</v>
      </c>
      <c r="C7">
        <f t="shared" si="2"/>
        <v>700</v>
      </c>
      <c r="D7">
        <f t="shared" si="3"/>
        <v>46.666666666666664</v>
      </c>
      <c r="E7">
        <f t="shared" si="0"/>
        <v>-66.666666666666671</v>
      </c>
      <c r="F7">
        <f t="shared" si="1"/>
        <v>-57.142857142857153</v>
      </c>
    </row>
    <row r="8" spans="1:6" x14ac:dyDescent="0.25">
      <c r="A8">
        <f>A3*(1-A2*5)</f>
        <v>0</v>
      </c>
      <c r="B8">
        <v>21</v>
      </c>
      <c r="C8">
        <f t="shared" si="2"/>
        <v>700</v>
      </c>
      <c r="D8">
        <f t="shared" si="3"/>
        <v>33.333333333333336</v>
      </c>
      <c r="E8">
        <f t="shared" si="0"/>
        <v>-100</v>
      </c>
      <c r="F8">
        <f t="shared" si="1"/>
        <v>-100</v>
      </c>
    </row>
    <row r="9" spans="1:6" x14ac:dyDescent="0.25">
      <c r="A9">
        <f>A3*(1-A2*6)</f>
        <v>-20.000000000000018</v>
      </c>
      <c r="B9">
        <v>28</v>
      </c>
      <c r="C9">
        <f t="shared" si="2"/>
        <v>559.99999999999989</v>
      </c>
      <c r="D9">
        <f t="shared" si="3"/>
        <v>19.999999999999996</v>
      </c>
      <c r="E9">
        <f t="shared" si="0"/>
        <v>-160.00000000000006</v>
      </c>
      <c r="F9">
        <f t="shared" si="1"/>
        <v>-200.00000000000009</v>
      </c>
    </row>
    <row r="10" spans="1:6" x14ac:dyDescent="0.25">
      <c r="A10">
        <f>A3*(1-A2*7)</f>
        <v>-40.000000000000014</v>
      </c>
      <c r="B10">
        <v>36</v>
      </c>
      <c r="C10">
        <f t="shared" si="2"/>
        <v>239.99999999999977</v>
      </c>
      <c r="D10">
        <f t="shared" si="3"/>
        <v>6.6666666666666607</v>
      </c>
      <c r="E10">
        <f t="shared" si="0"/>
        <v>-300.00000000000011</v>
      </c>
      <c r="F10">
        <f t="shared" si="1"/>
        <v>-700.00000000000068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Ubisoft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Yan Xi</dc:creator>
  <cp:lastModifiedBy>Zhu Yan Xi</cp:lastModifiedBy>
  <dcterms:created xsi:type="dcterms:W3CDTF">2025-05-30T02:43:24Z</dcterms:created>
  <dcterms:modified xsi:type="dcterms:W3CDTF">2026-03-31T07:45:47Z</dcterms:modified>
</cp:coreProperties>
</file>